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04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4" i="1"/>
  <c r="F44"/>
  <c r="J39"/>
  <c r="J38"/>
  <c r="J37"/>
  <c r="J36"/>
  <c r="E39"/>
  <c r="E38"/>
  <c r="E37"/>
  <c r="E36"/>
  <c r="K39"/>
  <c r="K38"/>
  <c r="K37"/>
  <c r="K36"/>
  <c r="F39"/>
  <c r="F38"/>
  <c r="F37"/>
  <c r="F36"/>
  <c r="F25"/>
  <c r="F26"/>
  <c r="F27"/>
  <c r="F28"/>
  <c r="F29"/>
  <c r="F30"/>
  <c r="F31"/>
  <c r="F32"/>
  <c r="F33"/>
  <c r="F34"/>
  <c r="F35"/>
  <c r="E25"/>
  <c r="E26"/>
  <c r="E27"/>
  <c r="E28"/>
  <c r="E29"/>
  <c r="E30"/>
  <c r="E31"/>
  <c r="E32"/>
  <c r="E33"/>
  <c r="E34"/>
  <c r="E35"/>
  <c r="K25"/>
  <c r="K26"/>
  <c r="K27"/>
  <c r="K28"/>
  <c r="K29"/>
  <c r="K30"/>
  <c r="K31"/>
  <c r="K32"/>
  <c r="K33"/>
  <c r="K34"/>
  <c r="K35"/>
  <c r="J25"/>
  <c r="J26"/>
  <c r="J27"/>
  <c r="J28"/>
  <c r="J29"/>
  <c r="J30"/>
  <c r="J31"/>
  <c r="J32"/>
  <c r="J33"/>
  <c r="J34"/>
  <c r="J3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K24"/>
  <c r="E24"/>
  <c r="F24"/>
  <c r="K5"/>
  <c r="E18"/>
  <c r="E19"/>
  <c r="E20"/>
  <c r="E21"/>
  <c r="E22"/>
  <c r="E23"/>
  <c r="K23"/>
  <c r="K22"/>
  <c r="F23"/>
  <c r="F22"/>
  <c r="J5" l="1"/>
  <c r="E6"/>
  <c r="E7"/>
  <c r="E8"/>
  <c r="E9"/>
  <c r="E10"/>
  <c r="E11"/>
  <c r="E12"/>
  <c r="E13"/>
  <c r="E14"/>
  <c r="E15"/>
  <c r="E16"/>
  <c r="E17"/>
  <c r="E5"/>
  <c r="F6"/>
  <c r="F7"/>
  <c r="F8"/>
  <c r="F9"/>
  <c r="F10"/>
  <c r="F11"/>
  <c r="F12"/>
  <c r="F13"/>
  <c r="F14"/>
  <c r="F15"/>
  <c r="F16"/>
  <c r="F17"/>
  <c r="F18"/>
  <c r="F19"/>
  <c r="F20"/>
  <c r="F21"/>
  <c r="K6"/>
  <c r="K7"/>
  <c r="K8"/>
  <c r="K9"/>
  <c r="K10"/>
  <c r="K11"/>
  <c r="K12"/>
  <c r="K13"/>
  <c r="K14"/>
  <c r="K15"/>
  <c r="K16"/>
  <c r="K17"/>
  <c r="K18"/>
  <c r="K19"/>
  <c r="K20"/>
  <c r="K21"/>
  <c r="F5"/>
</calcChain>
</file>

<file path=xl/sharedStrings.xml><?xml version="1.0" encoding="utf-8"?>
<sst xmlns="http://schemas.openxmlformats.org/spreadsheetml/2006/main" count="55" uniqueCount="18">
  <si>
    <t>SUMMARY</t>
  </si>
  <si>
    <t xml:space="preserve">FDC </t>
  </si>
  <si>
    <t>OCTANE ORBIT</t>
  </si>
  <si>
    <t>AGO</t>
  </si>
  <si>
    <t>PMS</t>
  </si>
  <si>
    <t>DATE</t>
  </si>
  <si>
    <t>VARIANCE</t>
  </si>
  <si>
    <t>*</t>
  </si>
  <si>
    <t>time frame</t>
  </si>
  <si>
    <t>07.30-07.30</t>
  </si>
  <si>
    <t>07.30-16.45pm</t>
  </si>
  <si>
    <t>16.45-07.30am</t>
  </si>
  <si>
    <t>*30th-2rd</t>
  </si>
  <si>
    <t>BONJE STATION OCTANE AUTOMATION TEST</t>
  </si>
  <si>
    <t>FDC vs OCTANE</t>
  </si>
  <si>
    <t>B-E</t>
  </si>
  <si>
    <t>G-I</t>
  </si>
  <si>
    <t>TOTAL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</si>
</sst>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/>
    </xf>
    <xf numFmtId="16" fontId="1" fillId="0" borderId="0" xfId="0" applyNumberFormat="1" applyFont="1"/>
    <xf numFmtId="0" fontId="4" fillId="0" borderId="0" xfId="0" applyFont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/>
    <xf numFmtId="16" fontId="5" fillId="0" borderId="0" xfId="0" applyNumberFormat="1" applyFont="1"/>
    <xf numFmtId="0" fontId="5" fillId="3" borderId="0" xfId="0" applyFont="1" applyFill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>
      <selection activeCell="E13" sqref="E13"/>
    </sheetView>
  </sheetViews>
  <sheetFormatPr defaultRowHeight="15"/>
  <cols>
    <col min="2" max="2" width="12.5703125" customWidth="1"/>
    <col min="3" max="3" width="15" customWidth="1"/>
    <col min="4" max="4" width="15.85546875" customWidth="1"/>
    <col min="5" max="5" width="21.85546875" customWidth="1"/>
    <col min="6" max="6" width="11.140625" customWidth="1"/>
    <col min="7" max="7" width="12.5703125" customWidth="1"/>
    <col min="9" max="9" width="14.5703125" customWidth="1"/>
    <col min="10" max="10" width="17.42578125" customWidth="1"/>
    <col min="11" max="11" width="10.85546875" customWidth="1"/>
    <col min="12" max="12" width="13" customWidth="1"/>
    <col min="16" max="16" width="15.85546875" customWidth="1"/>
  </cols>
  <sheetData>
    <row r="1" spans="1:16" ht="15.75">
      <c r="A1" s="3"/>
      <c r="B1" s="13" t="s">
        <v>13</v>
      </c>
      <c r="C1" s="13"/>
      <c r="D1" s="13"/>
      <c r="E1" s="13"/>
      <c r="F1" s="13"/>
      <c r="G1" s="13"/>
      <c r="H1" s="13"/>
      <c r="I1" s="13"/>
      <c r="J1" s="4"/>
      <c r="K1" s="3"/>
      <c r="L1" s="3"/>
    </row>
    <row r="2" spans="1:16" ht="15.75">
      <c r="A2" s="3"/>
      <c r="B2" s="13"/>
      <c r="C2" s="13"/>
      <c r="D2" s="13"/>
      <c r="E2" s="13"/>
      <c r="F2" s="13"/>
      <c r="G2" s="13"/>
      <c r="H2" s="13"/>
      <c r="I2" s="13"/>
      <c r="J2" s="4"/>
      <c r="K2" s="3"/>
      <c r="L2" s="3"/>
    </row>
    <row r="3" spans="1:16">
      <c r="A3" s="3"/>
      <c r="B3" s="11" t="s">
        <v>3</v>
      </c>
      <c r="C3" s="11"/>
      <c r="D3" s="11"/>
      <c r="E3" s="5"/>
      <c r="F3" s="8" t="s">
        <v>15</v>
      </c>
      <c r="G3" s="12" t="s">
        <v>4</v>
      </c>
      <c r="H3" s="12"/>
      <c r="I3" s="12"/>
      <c r="J3" s="6"/>
      <c r="K3" s="8" t="s">
        <v>16</v>
      </c>
      <c r="L3" s="3"/>
    </row>
    <row r="4" spans="1:16">
      <c r="A4" t="s">
        <v>5</v>
      </c>
      <c r="B4" t="s">
        <v>0</v>
      </c>
      <c r="C4" t="s">
        <v>1</v>
      </c>
      <c r="D4" t="s">
        <v>2</v>
      </c>
      <c r="E4" t="s">
        <v>14</v>
      </c>
      <c r="F4" s="2" t="s">
        <v>6</v>
      </c>
      <c r="G4" t="s">
        <v>0</v>
      </c>
      <c r="H4" t="s">
        <v>1</v>
      </c>
      <c r="I4" t="s">
        <v>2</v>
      </c>
      <c r="J4" t="s">
        <v>14</v>
      </c>
      <c r="K4" s="2" t="s">
        <v>6</v>
      </c>
      <c r="L4" t="s">
        <v>8</v>
      </c>
    </row>
    <row r="5" spans="1:16" s="14" customFormat="1">
      <c r="A5" s="15">
        <v>46288</v>
      </c>
      <c r="B5" s="14">
        <v>28545</v>
      </c>
      <c r="C5" s="16">
        <v>28151.68</v>
      </c>
      <c r="D5" s="14">
        <v>11790.08</v>
      </c>
      <c r="E5" s="17">
        <f>C5-D5</f>
        <v>16361.6</v>
      </c>
      <c r="F5" s="14">
        <f t="shared" ref="F5:F39" si="0">B5-D5</f>
        <v>16754.919999999998</v>
      </c>
      <c r="G5" s="14">
        <v>1098</v>
      </c>
      <c r="H5" s="16">
        <v>1005.31</v>
      </c>
      <c r="I5" s="14">
        <v>522.94000000000005</v>
      </c>
      <c r="J5" s="17">
        <f>H5-I5</f>
        <v>482.36999999999989</v>
      </c>
      <c r="K5" s="14">
        <f>G5-I5</f>
        <v>575.05999999999995</v>
      </c>
      <c r="L5" s="14" t="s">
        <v>9</v>
      </c>
    </row>
    <row r="6" spans="1:16">
      <c r="A6" s="1">
        <v>46289</v>
      </c>
      <c r="B6">
        <v>26212</v>
      </c>
      <c r="C6" s="3">
        <v>26421.09</v>
      </c>
      <c r="D6">
        <v>26421.09</v>
      </c>
      <c r="E6" s="2">
        <f t="shared" ref="E6:E39" si="1">C6-D6</f>
        <v>0</v>
      </c>
      <c r="F6" s="7">
        <f t="shared" si="0"/>
        <v>-209.09000000000015</v>
      </c>
      <c r="G6">
        <v>997</v>
      </c>
      <c r="H6" s="3">
        <v>879.84</v>
      </c>
      <c r="I6">
        <v>879.84</v>
      </c>
      <c r="J6" s="2">
        <f t="shared" ref="J6:J39" si="2">H6-I6</f>
        <v>0</v>
      </c>
      <c r="K6" s="7">
        <f t="shared" ref="K6:K39" si="3">G6-I6</f>
        <v>117.15999999999997</v>
      </c>
      <c r="L6" t="s">
        <v>9</v>
      </c>
    </row>
    <row r="7" spans="1:16">
      <c r="A7" s="1">
        <v>46290</v>
      </c>
      <c r="B7">
        <v>21675</v>
      </c>
      <c r="C7" s="3">
        <v>21321.19</v>
      </c>
      <c r="D7">
        <v>21321.19</v>
      </c>
      <c r="E7" s="2">
        <f t="shared" si="1"/>
        <v>0</v>
      </c>
      <c r="F7" s="7">
        <f t="shared" si="0"/>
        <v>353.81000000000131</v>
      </c>
      <c r="G7">
        <v>1144</v>
      </c>
      <c r="H7" s="3">
        <v>854.17</v>
      </c>
      <c r="I7">
        <v>854.17</v>
      </c>
      <c r="J7" s="2">
        <f t="shared" si="2"/>
        <v>0</v>
      </c>
      <c r="K7" s="7">
        <f t="shared" si="3"/>
        <v>289.83000000000004</v>
      </c>
      <c r="L7" t="s">
        <v>9</v>
      </c>
    </row>
    <row r="8" spans="1:16">
      <c r="A8" s="1">
        <v>46291</v>
      </c>
      <c r="B8">
        <v>32171</v>
      </c>
      <c r="C8" s="3">
        <v>31003.71</v>
      </c>
      <c r="D8">
        <v>31003.71</v>
      </c>
      <c r="E8" s="2">
        <f t="shared" si="1"/>
        <v>0</v>
      </c>
      <c r="F8" s="7">
        <f t="shared" si="0"/>
        <v>1167.2900000000009</v>
      </c>
      <c r="G8">
        <v>893</v>
      </c>
      <c r="H8" s="3">
        <v>763.79</v>
      </c>
      <c r="I8">
        <v>763.79</v>
      </c>
      <c r="J8" s="2">
        <f t="shared" si="2"/>
        <v>0</v>
      </c>
      <c r="K8" s="7">
        <f t="shared" si="3"/>
        <v>129.21000000000004</v>
      </c>
      <c r="L8" t="s">
        <v>9</v>
      </c>
    </row>
    <row r="9" spans="1:16">
      <c r="A9" s="1">
        <v>46292</v>
      </c>
      <c r="B9">
        <v>9807</v>
      </c>
      <c r="C9" s="3">
        <v>10585.09</v>
      </c>
      <c r="D9">
        <v>10585.09</v>
      </c>
      <c r="E9" s="2">
        <f t="shared" si="1"/>
        <v>0</v>
      </c>
      <c r="F9" s="7">
        <f t="shared" si="0"/>
        <v>-778.09000000000015</v>
      </c>
      <c r="G9">
        <v>781</v>
      </c>
      <c r="H9" s="3">
        <v>747.52</v>
      </c>
      <c r="I9">
        <v>747.52</v>
      </c>
      <c r="J9" s="2">
        <f t="shared" si="2"/>
        <v>0</v>
      </c>
      <c r="K9" s="7">
        <f t="shared" si="3"/>
        <v>33.480000000000018</v>
      </c>
      <c r="L9" t="s">
        <v>9</v>
      </c>
    </row>
    <row r="10" spans="1:16">
      <c r="A10" s="1">
        <v>46293</v>
      </c>
      <c r="B10">
        <v>24919</v>
      </c>
      <c r="C10" s="3">
        <v>24449.18</v>
      </c>
      <c r="D10">
        <v>24449.18</v>
      </c>
      <c r="E10" s="2">
        <f t="shared" si="1"/>
        <v>0</v>
      </c>
      <c r="F10" s="7">
        <f t="shared" si="0"/>
        <v>469.81999999999971</v>
      </c>
      <c r="G10">
        <v>991</v>
      </c>
      <c r="H10" s="3">
        <v>875.57</v>
      </c>
      <c r="I10">
        <v>875.57</v>
      </c>
      <c r="J10" s="2">
        <f t="shared" si="2"/>
        <v>0</v>
      </c>
      <c r="K10" s="7">
        <f t="shared" si="3"/>
        <v>115.42999999999995</v>
      </c>
      <c r="L10" t="s">
        <v>9</v>
      </c>
    </row>
    <row r="11" spans="1:16">
      <c r="A11" s="1">
        <v>46294</v>
      </c>
      <c r="B11">
        <v>15043</v>
      </c>
      <c r="C11" s="3">
        <v>15017.32</v>
      </c>
      <c r="D11">
        <v>15017.32</v>
      </c>
      <c r="E11" s="2">
        <f t="shared" si="1"/>
        <v>0</v>
      </c>
      <c r="F11" s="7">
        <f t="shared" si="0"/>
        <v>25.680000000000291</v>
      </c>
      <c r="G11">
        <v>968</v>
      </c>
      <c r="H11" s="3">
        <v>737.69</v>
      </c>
      <c r="I11">
        <v>737.69</v>
      </c>
      <c r="J11" s="2">
        <f t="shared" si="2"/>
        <v>0</v>
      </c>
      <c r="K11" s="7">
        <f t="shared" si="3"/>
        <v>230.30999999999995</v>
      </c>
      <c r="L11" t="s">
        <v>9</v>
      </c>
    </row>
    <row r="12" spans="1:16" s="14" customFormat="1" ht="18">
      <c r="A12" s="15">
        <v>46295</v>
      </c>
      <c r="B12" s="14">
        <v>13713</v>
      </c>
      <c r="C12" s="16">
        <v>11217.21</v>
      </c>
      <c r="D12" s="14">
        <v>11217.21</v>
      </c>
      <c r="E12" s="17">
        <f t="shared" si="1"/>
        <v>0</v>
      </c>
      <c r="F12" s="14">
        <f t="shared" si="0"/>
        <v>2495.7900000000009</v>
      </c>
      <c r="G12" s="14">
        <v>699</v>
      </c>
      <c r="H12" s="16">
        <v>517.88</v>
      </c>
      <c r="I12" s="14">
        <v>518.36099999999999</v>
      </c>
      <c r="J12" s="17">
        <f t="shared" si="2"/>
        <v>-0.48099999999999454</v>
      </c>
      <c r="K12" s="14">
        <f t="shared" si="3"/>
        <v>180.63900000000001</v>
      </c>
      <c r="L12" s="14" t="s">
        <v>10</v>
      </c>
      <c r="M12" s="14" t="s">
        <v>7</v>
      </c>
      <c r="P12" s="18"/>
    </row>
    <row r="13" spans="1:16" s="14" customFormat="1">
      <c r="A13" s="15">
        <v>46296</v>
      </c>
      <c r="B13" s="14">
        <v>26105</v>
      </c>
      <c r="C13" s="16">
        <v>25816.62</v>
      </c>
      <c r="D13" s="14">
        <v>24044.09</v>
      </c>
      <c r="E13" s="17">
        <f t="shared" si="1"/>
        <v>1772.5299999999988</v>
      </c>
      <c r="F13" s="14">
        <f t="shared" si="0"/>
        <v>2060.91</v>
      </c>
      <c r="G13" s="14">
        <v>1630</v>
      </c>
      <c r="H13" s="16">
        <v>1522.54</v>
      </c>
      <c r="I13" s="14">
        <v>1403.82</v>
      </c>
      <c r="J13" s="17">
        <f t="shared" si="2"/>
        <v>118.72000000000003</v>
      </c>
      <c r="K13" s="14">
        <f t="shared" si="3"/>
        <v>226.18000000000006</v>
      </c>
      <c r="L13" s="14" t="s">
        <v>11</v>
      </c>
      <c r="M13" s="14" t="s">
        <v>12</v>
      </c>
    </row>
    <row r="14" spans="1:16">
      <c r="A14" s="1">
        <v>46297</v>
      </c>
      <c r="B14">
        <v>24927</v>
      </c>
      <c r="C14" s="3">
        <v>24583.74</v>
      </c>
      <c r="D14">
        <v>24583.74</v>
      </c>
      <c r="E14" s="2">
        <f t="shared" si="1"/>
        <v>0</v>
      </c>
      <c r="F14" s="7">
        <f t="shared" si="0"/>
        <v>343.2599999999984</v>
      </c>
      <c r="G14">
        <v>1123</v>
      </c>
      <c r="H14" s="3">
        <v>982.46</v>
      </c>
      <c r="I14">
        <v>982.46</v>
      </c>
      <c r="J14" s="2">
        <f t="shared" si="2"/>
        <v>0</v>
      </c>
      <c r="K14" s="7">
        <f t="shared" si="3"/>
        <v>140.53999999999996</v>
      </c>
      <c r="L14" t="s">
        <v>9</v>
      </c>
    </row>
    <row r="15" spans="1:16">
      <c r="A15" s="1">
        <v>46298</v>
      </c>
      <c r="B15">
        <v>14773</v>
      </c>
      <c r="C15" s="3">
        <v>14761.66</v>
      </c>
      <c r="D15">
        <v>14761.66</v>
      </c>
      <c r="E15" s="2">
        <f t="shared" si="1"/>
        <v>0</v>
      </c>
      <c r="F15" s="7">
        <f t="shared" si="0"/>
        <v>11.340000000000146</v>
      </c>
      <c r="G15">
        <v>956</v>
      </c>
      <c r="H15" s="3">
        <v>947.08</v>
      </c>
      <c r="I15">
        <v>941.08</v>
      </c>
      <c r="J15" s="2">
        <f t="shared" si="2"/>
        <v>6</v>
      </c>
      <c r="K15" s="7">
        <f t="shared" si="3"/>
        <v>14.919999999999959</v>
      </c>
      <c r="L15" t="s">
        <v>9</v>
      </c>
    </row>
    <row r="16" spans="1:16">
      <c r="A16" s="1">
        <v>46299</v>
      </c>
      <c r="B16">
        <v>5430</v>
      </c>
      <c r="C16" s="3">
        <v>5430.32</v>
      </c>
      <c r="D16">
        <v>5430.32</v>
      </c>
      <c r="E16" s="2">
        <f t="shared" si="1"/>
        <v>0</v>
      </c>
      <c r="F16">
        <f t="shared" si="0"/>
        <v>-0.31999999999970896</v>
      </c>
      <c r="G16">
        <v>1100</v>
      </c>
      <c r="H16" s="3">
        <v>943.71</v>
      </c>
      <c r="I16">
        <v>943.71</v>
      </c>
      <c r="J16" s="2">
        <f t="shared" si="2"/>
        <v>0</v>
      </c>
      <c r="K16" s="7">
        <f t="shared" si="3"/>
        <v>156.28999999999996</v>
      </c>
      <c r="L16" t="s">
        <v>9</v>
      </c>
    </row>
    <row r="17" spans="1:12">
      <c r="A17" s="1">
        <v>46300</v>
      </c>
      <c r="B17">
        <v>26367</v>
      </c>
      <c r="C17" s="3">
        <v>26219.58</v>
      </c>
      <c r="D17">
        <v>26219.58</v>
      </c>
      <c r="E17" s="2">
        <f t="shared" si="1"/>
        <v>0</v>
      </c>
      <c r="F17" s="7">
        <f t="shared" si="0"/>
        <v>147.41999999999825</v>
      </c>
      <c r="G17">
        <v>1250</v>
      </c>
      <c r="H17" s="3">
        <v>979.68</v>
      </c>
      <c r="I17">
        <v>979.68</v>
      </c>
      <c r="J17" s="2">
        <f t="shared" si="2"/>
        <v>0</v>
      </c>
      <c r="K17" s="7">
        <f t="shared" si="3"/>
        <v>270.32000000000005</v>
      </c>
      <c r="L17" t="s">
        <v>9</v>
      </c>
    </row>
    <row r="18" spans="1:12">
      <c r="A18" s="1">
        <v>46301</v>
      </c>
      <c r="B18">
        <v>17114</v>
      </c>
      <c r="C18" s="3">
        <v>17039.05</v>
      </c>
      <c r="D18">
        <v>17039.05</v>
      </c>
      <c r="E18" s="2">
        <f t="shared" si="1"/>
        <v>0</v>
      </c>
      <c r="F18" s="7">
        <f t="shared" si="0"/>
        <v>74.950000000000728</v>
      </c>
      <c r="G18">
        <v>959</v>
      </c>
      <c r="H18" s="3">
        <v>972.96</v>
      </c>
      <c r="I18">
        <v>972.96</v>
      </c>
      <c r="J18" s="2">
        <f t="shared" si="2"/>
        <v>0</v>
      </c>
      <c r="K18" s="7">
        <f t="shared" si="3"/>
        <v>-13.960000000000036</v>
      </c>
      <c r="L18" t="s">
        <v>9</v>
      </c>
    </row>
    <row r="19" spans="1:12">
      <c r="A19" s="1">
        <v>46302</v>
      </c>
      <c r="B19">
        <v>20051</v>
      </c>
      <c r="C19" s="3">
        <v>20049.7</v>
      </c>
      <c r="D19">
        <v>20049.7</v>
      </c>
      <c r="E19" s="2">
        <f t="shared" si="1"/>
        <v>0</v>
      </c>
      <c r="F19" s="7">
        <f t="shared" si="0"/>
        <v>1.2999999999992724</v>
      </c>
      <c r="G19">
        <v>1713</v>
      </c>
      <c r="H19" s="3">
        <v>927.74</v>
      </c>
      <c r="I19">
        <v>927.74</v>
      </c>
      <c r="J19" s="2">
        <f t="shared" si="2"/>
        <v>0</v>
      </c>
      <c r="K19" s="7">
        <f t="shared" si="3"/>
        <v>785.26</v>
      </c>
      <c r="L19" t="s">
        <v>9</v>
      </c>
    </row>
    <row r="20" spans="1:12">
      <c r="A20" s="1">
        <v>46303</v>
      </c>
      <c r="B20">
        <v>22526</v>
      </c>
      <c r="C20" s="3">
        <v>22490.49</v>
      </c>
      <c r="D20">
        <v>22490.49</v>
      </c>
      <c r="E20" s="2">
        <f t="shared" si="1"/>
        <v>0</v>
      </c>
      <c r="F20" s="7">
        <f t="shared" si="0"/>
        <v>35.509999999998399</v>
      </c>
      <c r="G20">
        <v>981</v>
      </c>
      <c r="H20" s="3">
        <v>774.94</v>
      </c>
      <c r="I20">
        <v>774.94</v>
      </c>
      <c r="J20" s="2">
        <f t="shared" si="2"/>
        <v>0</v>
      </c>
      <c r="K20" s="7">
        <f t="shared" si="3"/>
        <v>206.05999999999995</v>
      </c>
      <c r="L20" t="s">
        <v>9</v>
      </c>
    </row>
    <row r="21" spans="1:12">
      <c r="A21" s="1">
        <v>46304</v>
      </c>
      <c r="B21">
        <v>22547</v>
      </c>
      <c r="C21" s="3">
        <v>22113.56</v>
      </c>
      <c r="D21">
        <v>22113.56</v>
      </c>
      <c r="E21" s="2">
        <f t="shared" si="1"/>
        <v>0</v>
      </c>
      <c r="F21" s="7">
        <f t="shared" si="0"/>
        <v>433.43999999999869</v>
      </c>
      <c r="G21">
        <v>1324</v>
      </c>
      <c r="H21" s="3">
        <v>1168.99</v>
      </c>
      <c r="I21">
        <v>1168.99</v>
      </c>
      <c r="J21" s="2">
        <f t="shared" si="2"/>
        <v>0</v>
      </c>
      <c r="K21" s="7">
        <f t="shared" si="3"/>
        <v>155.01</v>
      </c>
      <c r="L21" t="s">
        <v>9</v>
      </c>
    </row>
    <row r="22" spans="1:12">
      <c r="A22" s="1">
        <v>46305</v>
      </c>
      <c r="B22">
        <v>16829</v>
      </c>
      <c r="C22" s="3">
        <v>16657.060000000001</v>
      </c>
      <c r="D22">
        <v>16657.060000000001</v>
      </c>
      <c r="E22" s="2">
        <f t="shared" si="1"/>
        <v>0</v>
      </c>
      <c r="F22" s="7">
        <f t="shared" si="0"/>
        <v>171.93999999999869</v>
      </c>
      <c r="G22">
        <v>949</v>
      </c>
      <c r="H22" s="3">
        <v>916.76</v>
      </c>
      <c r="I22">
        <v>916.76</v>
      </c>
      <c r="J22" s="2">
        <f t="shared" si="2"/>
        <v>0</v>
      </c>
      <c r="K22" s="7">
        <f t="shared" si="3"/>
        <v>32.240000000000009</v>
      </c>
      <c r="L22" t="s">
        <v>9</v>
      </c>
    </row>
    <row r="23" spans="1:12">
      <c r="A23" s="1">
        <v>46306</v>
      </c>
      <c r="B23">
        <v>5507</v>
      </c>
      <c r="C23" s="3">
        <v>5506.12</v>
      </c>
      <c r="D23">
        <v>5506.12</v>
      </c>
      <c r="E23" s="2">
        <f t="shared" si="1"/>
        <v>0</v>
      </c>
      <c r="F23" s="7">
        <f t="shared" si="0"/>
        <v>0.88000000000010914</v>
      </c>
      <c r="G23">
        <v>1060</v>
      </c>
      <c r="H23" s="3">
        <v>1045.8900000000001</v>
      </c>
      <c r="I23">
        <v>1045.8900000000001</v>
      </c>
      <c r="J23" s="2">
        <f t="shared" si="2"/>
        <v>0</v>
      </c>
      <c r="K23" s="7">
        <f t="shared" si="3"/>
        <v>14.1099999999999</v>
      </c>
      <c r="L23" t="s">
        <v>9</v>
      </c>
    </row>
    <row r="24" spans="1:12">
      <c r="A24" s="1">
        <v>46307</v>
      </c>
      <c r="B24">
        <v>14671</v>
      </c>
      <c r="C24" s="3">
        <v>14651.08</v>
      </c>
      <c r="D24">
        <v>14651.08</v>
      </c>
      <c r="E24" s="2">
        <f t="shared" si="1"/>
        <v>0</v>
      </c>
      <c r="F24" s="7">
        <f t="shared" si="0"/>
        <v>19.920000000000073</v>
      </c>
      <c r="G24">
        <v>942</v>
      </c>
      <c r="H24" s="3">
        <v>880.63</v>
      </c>
      <c r="I24">
        <v>880.63</v>
      </c>
      <c r="J24" s="2">
        <f t="shared" si="2"/>
        <v>0</v>
      </c>
      <c r="K24" s="7">
        <f t="shared" si="3"/>
        <v>61.370000000000005</v>
      </c>
      <c r="L24" t="s">
        <v>9</v>
      </c>
    </row>
    <row r="25" spans="1:12">
      <c r="A25" s="9">
        <v>46308</v>
      </c>
      <c r="B25">
        <v>19742</v>
      </c>
      <c r="C25" s="3">
        <v>19319.349999999999</v>
      </c>
      <c r="D25">
        <v>19319.349999999999</v>
      </c>
      <c r="E25" s="2">
        <f t="shared" si="1"/>
        <v>0</v>
      </c>
      <c r="F25" s="7">
        <f t="shared" si="0"/>
        <v>422.65000000000146</v>
      </c>
      <c r="G25">
        <v>1098</v>
      </c>
      <c r="H25" s="3">
        <v>962.67</v>
      </c>
      <c r="I25">
        <v>962.67</v>
      </c>
      <c r="J25" s="2">
        <f t="shared" si="2"/>
        <v>0</v>
      </c>
      <c r="K25" s="7">
        <f t="shared" si="3"/>
        <v>135.33000000000004</v>
      </c>
      <c r="L25" t="s">
        <v>9</v>
      </c>
    </row>
    <row r="26" spans="1:12">
      <c r="A26" s="9">
        <v>46309</v>
      </c>
      <c r="B26" s="7">
        <v>16494</v>
      </c>
      <c r="C26" s="3">
        <v>16493.830000000002</v>
      </c>
      <c r="D26">
        <v>16493.830000000002</v>
      </c>
      <c r="E26" s="2">
        <f t="shared" si="1"/>
        <v>0</v>
      </c>
      <c r="F26" s="7">
        <f t="shared" si="0"/>
        <v>0.16999999999825377</v>
      </c>
      <c r="G26">
        <v>854</v>
      </c>
      <c r="H26" s="3">
        <v>792.24</v>
      </c>
      <c r="I26">
        <v>792.24</v>
      </c>
      <c r="J26" s="2">
        <f t="shared" si="2"/>
        <v>0</v>
      </c>
      <c r="K26" s="7">
        <f t="shared" si="3"/>
        <v>61.759999999999991</v>
      </c>
      <c r="L26" t="s">
        <v>9</v>
      </c>
    </row>
    <row r="27" spans="1:12">
      <c r="A27" s="9">
        <v>46310</v>
      </c>
      <c r="B27">
        <v>25005</v>
      </c>
      <c r="C27" s="3">
        <v>24704.13</v>
      </c>
      <c r="D27">
        <v>24704.13</v>
      </c>
      <c r="E27" s="2">
        <f t="shared" si="1"/>
        <v>0</v>
      </c>
      <c r="F27" s="7">
        <f t="shared" si="0"/>
        <v>300.86999999999898</v>
      </c>
      <c r="G27">
        <v>1219</v>
      </c>
      <c r="H27" s="3">
        <v>1135.83</v>
      </c>
      <c r="I27">
        <v>1135.83</v>
      </c>
      <c r="J27" s="2">
        <f t="shared" si="2"/>
        <v>0</v>
      </c>
      <c r="K27" s="7">
        <f t="shared" si="3"/>
        <v>83.170000000000073</v>
      </c>
      <c r="L27" t="s">
        <v>9</v>
      </c>
    </row>
    <row r="28" spans="1:12">
      <c r="A28" s="9">
        <v>46311</v>
      </c>
      <c r="B28">
        <v>19006</v>
      </c>
      <c r="C28" s="3">
        <v>19001.95</v>
      </c>
      <c r="D28">
        <v>19001.95</v>
      </c>
      <c r="E28" s="2">
        <f t="shared" si="1"/>
        <v>0</v>
      </c>
      <c r="F28" s="7">
        <f t="shared" si="0"/>
        <v>4.0499999999992724</v>
      </c>
      <c r="G28">
        <v>1049</v>
      </c>
      <c r="H28" s="3">
        <v>1016.1</v>
      </c>
      <c r="I28">
        <v>1016.1</v>
      </c>
      <c r="J28" s="2">
        <f t="shared" si="2"/>
        <v>0</v>
      </c>
      <c r="K28" s="7">
        <f t="shared" si="3"/>
        <v>32.899999999999977</v>
      </c>
      <c r="L28" t="s">
        <v>9</v>
      </c>
    </row>
    <row r="29" spans="1:12">
      <c r="A29" s="9">
        <v>46312</v>
      </c>
      <c r="B29">
        <v>15634</v>
      </c>
      <c r="C29" s="3">
        <v>15635.75</v>
      </c>
      <c r="D29">
        <v>15635.75</v>
      </c>
      <c r="E29" s="2">
        <f t="shared" si="1"/>
        <v>0</v>
      </c>
      <c r="F29" s="7">
        <f t="shared" si="0"/>
        <v>-1.75</v>
      </c>
      <c r="G29">
        <v>1115</v>
      </c>
      <c r="H29" s="3">
        <v>1071.68</v>
      </c>
      <c r="I29">
        <v>1071.68</v>
      </c>
      <c r="J29" s="2">
        <f t="shared" si="2"/>
        <v>0</v>
      </c>
      <c r="K29" s="7">
        <f t="shared" si="3"/>
        <v>43.319999999999936</v>
      </c>
      <c r="L29" t="s">
        <v>9</v>
      </c>
    </row>
    <row r="30" spans="1:12">
      <c r="A30" s="9">
        <v>46313</v>
      </c>
      <c r="B30">
        <v>11082</v>
      </c>
      <c r="C30" s="3">
        <v>11083.19</v>
      </c>
      <c r="D30">
        <v>11083.19</v>
      </c>
      <c r="E30" s="2">
        <f t="shared" si="1"/>
        <v>0</v>
      </c>
      <c r="F30" s="7">
        <f t="shared" si="0"/>
        <v>-1.1900000000005093</v>
      </c>
      <c r="G30">
        <v>904</v>
      </c>
      <c r="H30" s="3">
        <v>748.17</v>
      </c>
      <c r="I30">
        <v>748.17</v>
      </c>
      <c r="J30" s="2">
        <f t="shared" si="2"/>
        <v>0</v>
      </c>
      <c r="K30" s="7">
        <f t="shared" si="3"/>
        <v>155.83000000000004</v>
      </c>
      <c r="L30" t="s">
        <v>9</v>
      </c>
    </row>
    <row r="31" spans="1:12">
      <c r="A31" s="9">
        <v>46314</v>
      </c>
      <c r="B31">
        <v>17521</v>
      </c>
      <c r="C31" s="3">
        <v>17520.04</v>
      </c>
      <c r="D31">
        <v>17520.04</v>
      </c>
      <c r="E31" s="2">
        <f t="shared" si="1"/>
        <v>0</v>
      </c>
      <c r="F31" s="7">
        <f t="shared" si="0"/>
        <v>0.95999999999912689</v>
      </c>
      <c r="G31">
        <v>1409</v>
      </c>
      <c r="H31" s="3">
        <v>1299.95</v>
      </c>
      <c r="I31">
        <v>1299.95</v>
      </c>
      <c r="J31" s="2">
        <f t="shared" si="2"/>
        <v>0</v>
      </c>
      <c r="K31" s="7">
        <f t="shared" si="3"/>
        <v>109.04999999999995</v>
      </c>
      <c r="L31" t="s">
        <v>9</v>
      </c>
    </row>
    <row r="32" spans="1:12">
      <c r="A32" s="9">
        <v>46315</v>
      </c>
      <c r="B32">
        <v>10214</v>
      </c>
      <c r="C32" s="3">
        <v>10213.98</v>
      </c>
      <c r="D32">
        <v>10213.98</v>
      </c>
      <c r="E32" s="2">
        <f t="shared" si="1"/>
        <v>0</v>
      </c>
      <c r="F32" s="7">
        <f t="shared" si="0"/>
        <v>2.0000000000436557E-2</v>
      </c>
      <c r="G32">
        <v>967</v>
      </c>
      <c r="H32" s="3">
        <v>872.31</v>
      </c>
      <c r="I32">
        <v>872.31</v>
      </c>
      <c r="J32" s="2">
        <f t="shared" si="2"/>
        <v>0</v>
      </c>
      <c r="K32" s="7">
        <f t="shared" si="3"/>
        <v>94.690000000000055</v>
      </c>
      <c r="L32" t="s">
        <v>9</v>
      </c>
    </row>
    <row r="33" spans="1:12">
      <c r="A33" s="9">
        <v>46316</v>
      </c>
      <c r="B33">
        <v>21600</v>
      </c>
      <c r="C33" s="3">
        <v>21590.42</v>
      </c>
      <c r="D33">
        <v>21590.42</v>
      </c>
      <c r="E33" s="2">
        <f t="shared" si="1"/>
        <v>0</v>
      </c>
      <c r="F33" s="7">
        <f t="shared" si="0"/>
        <v>9.5800000000017462</v>
      </c>
      <c r="G33">
        <v>1098</v>
      </c>
      <c r="H33" s="3">
        <v>894.17</v>
      </c>
      <c r="I33">
        <v>894.17</v>
      </c>
      <c r="J33" s="2">
        <f t="shared" si="2"/>
        <v>0</v>
      </c>
      <c r="K33" s="7">
        <f t="shared" si="3"/>
        <v>203.83000000000004</v>
      </c>
      <c r="L33" t="s">
        <v>9</v>
      </c>
    </row>
    <row r="34" spans="1:12">
      <c r="A34" s="9">
        <v>46317</v>
      </c>
      <c r="B34" s="7">
        <v>24292</v>
      </c>
      <c r="C34" s="3">
        <v>24073.439999999999</v>
      </c>
      <c r="D34">
        <v>24073.439999999999</v>
      </c>
      <c r="E34" s="2">
        <f t="shared" si="1"/>
        <v>0</v>
      </c>
      <c r="F34" s="7">
        <f t="shared" si="0"/>
        <v>218.56000000000131</v>
      </c>
      <c r="G34">
        <v>1004</v>
      </c>
      <c r="H34" s="3">
        <v>942.73</v>
      </c>
      <c r="I34">
        <v>942.73</v>
      </c>
      <c r="J34" s="2">
        <f t="shared" si="2"/>
        <v>0</v>
      </c>
      <c r="K34" s="7">
        <f t="shared" si="3"/>
        <v>61.269999999999982</v>
      </c>
      <c r="L34" t="s">
        <v>9</v>
      </c>
    </row>
    <row r="35" spans="1:12">
      <c r="A35" s="9">
        <v>46318</v>
      </c>
      <c r="B35">
        <v>15014</v>
      </c>
      <c r="C35" s="3">
        <v>15015.05</v>
      </c>
      <c r="D35">
        <v>15015.05</v>
      </c>
      <c r="E35" s="2">
        <f t="shared" si="1"/>
        <v>0</v>
      </c>
      <c r="F35" s="7">
        <f t="shared" si="0"/>
        <v>-1.0499999999992724</v>
      </c>
      <c r="G35">
        <v>1164</v>
      </c>
      <c r="H35" s="3">
        <v>1083.27</v>
      </c>
      <c r="I35">
        <v>1083.27</v>
      </c>
      <c r="J35" s="2">
        <f t="shared" si="2"/>
        <v>0</v>
      </c>
      <c r="K35" s="7">
        <f t="shared" si="3"/>
        <v>80.730000000000018</v>
      </c>
      <c r="L35" t="s">
        <v>9</v>
      </c>
    </row>
    <row r="36" spans="1:12">
      <c r="A36" s="9">
        <v>46319</v>
      </c>
      <c r="B36">
        <v>19908</v>
      </c>
      <c r="C36" s="3">
        <v>19379.79</v>
      </c>
      <c r="D36">
        <v>19379.79</v>
      </c>
      <c r="E36" s="2">
        <f t="shared" si="1"/>
        <v>0</v>
      </c>
      <c r="F36" s="7">
        <f t="shared" si="0"/>
        <v>528.20999999999913</v>
      </c>
      <c r="G36">
        <v>1330</v>
      </c>
      <c r="H36" s="3">
        <v>1359.24</v>
      </c>
      <c r="I36">
        <v>1359.24</v>
      </c>
      <c r="J36" s="2">
        <f t="shared" si="2"/>
        <v>0</v>
      </c>
      <c r="K36" s="7">
        <f t="shared" si="3"/>
        <v>-29.240000000000009</v>
      </c>
      <c r="L36" t="s">
        <v>9</v>
      </c>
    </row>
    <row r="37" spans="1:12">
      <c r="A37" s="9">
        <v>46320</v>
      </c>
      <c r="B37">
        <v>13083</v>
      </c>
      <c r="C37" s="3">
        <v>13084.84</v>
      </c>
      <c r="D37">
        <v>13084.84</v>
      </c>
      <c r="E37" s="2">
        <f t="shared" si="1"/>
        <v>0</v>
      </c>
      <c r="F37" s="7">
        <f t="shared" si="0"/>
        <v>-1.8400000000001455</v>
      </c>
      <c r="G37">
        <v>1070</v>
      </c>
      <c r="H37" s="3">
        <v>1047.8</v>
      </c>
      <c r="I37">
        <v>1047.8</v>
      </c>
      <c r="J37" s="2">
        <f t="shared" si="2"/>
        <v>0</v>
      </c>
      <c r="K37" s="7">
        <f t="shared" si="3"/>
        <v>22.200000000000045</v>
      </c>
      <c r="L37" t="s">
        <v>9</v>
      </c>
    </row>
    <row r="38" spans="1:12">
      <c r="A38" s="9">
        <v>46321</v>
      </c>
      <c r="B38">
        <v>18246</v>
      </c>
      <c r="C38" s="3">
        <v>17088.59</v>
      </c>
      <c r="D38">
        <v>17088.59</v>
      </c>
      <c r="E38" s="2">
        <f t="shared" si="1"/>
        <v>0</v>
      </c>
      <c r="F38" s="7">
        <f t="shared" si="0"/>
        <v>1157.4099999999999</v>
      </c>
      <c r="G38">
        <v>1131</v>
      </c>
      <c r="H38" s="3">
        <v>974.37</v>
      </c>
      <c r="I38">
        <v>974.37</v>
      </c>
      <c r="J38" s="2">
        <f t="shared" si="2"/>
        <v>0</v>
      </c>
      <c r="K38" s="7">
        <f t="shared" si="3"/>
        <v>156.63</v>
      </c>
      <c r="L38" t="s">
        <v>9</v>
      </c>
    </row>
    <row r="39" spans="1:12">
      <c r="A39" s="9">
        <v>46322</v>
      </c>
      <c r="B39">
        <v>27737</v>
      </c>
      <c r="C39" s="3">
        <v>27726.1</v>
      </c>
      <c r="D39">
        <v>27726.1</v>
      </c>
      <c r="E39" s="2">
        <f t="shared" si="1"/>
        <v>0</v>
      </c>
      <c r="F39" s="7">
        <f t="shared" si="0"/>
        <v>10.900000000001455</v>
      </c>
      <c r="G39">
        <v>1056</v>
      </c>
      <c r="H39" s="3">
        <v>951.72</v>
      </c>
      <c r="I39">
        <v>951.72</v>
      </c>
      <c r="J39" s="2">
        <f t="shared" si="2"/>
        <v>0</v>
      </c>
      <c r="K39" s="7">
        <f t="shared" si="3"/>
        <v>104.27999999999997</v>
      </c>
      <c r="L39" t="s">
        <v>9</v>
      </c>
    </row>
    <row r="40" spans="1:12">
      <c r="A40" s="9">
        <v>46323</v>
      </c>
    </row>
    <row r="41" spans="1:12">
      <c r="A41" s="9">
        <v>46324</v>
      </c>
    </row>
    <row r="42" spans="1:12">
      <c r="A42" s="9">
        <v>46325</v>
      </c>
    </row>
    <row r="43" spans="1:12">
      <c r="A43" s="9">
        <v>46326</v>
      </c>
    </row>
    <row r="44" spans="1:12">
      <c r="A44" s="1" t="s">
        <v>17</v>
      </c>
      <c r="F44" s="10">
        <f>SUM(F5:F43)</f>
        <v>26228.229999999992</v>
      </c>
      <c r="K44" s="10">
        <f t="shared" ref="K44" si="4">SUM(K5:K43)</f>
        <v>5035.2089999999998</v>
      </c>
    </row>
    <row r="45" spans="1:12">
      <c r="A45" s="1"/>
    </row>
    <row r="46" spans="1:12">
      <c r="A46" s="1"/>
    </row>
    <row r="47" spans="1:12">
      <c r="A47" s="1"/>
    </row>
    <row r="48" spans="1:12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3">
    <mergeCell ref="B3:D3"/>
    <mergeCell ref="G3:I3"/>
    <mergeCell ref="B1:I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Aboki</dc:creator>
  <cp:lastModifiedBy>Asanetic</cp:lastModifiedBy>
  <dcterms:created xsi:type="dcterms:W3CDTF">2026-10-02T08:10:28Z</dcterms:created>
  <dcterms:modified xsi:type="dcterms:W3CDTF">2026-10-29T10:42:29Z</dcterms:modified>
</cp:coreProperties>
</file>